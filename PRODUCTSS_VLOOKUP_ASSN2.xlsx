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913F5B85-9DC8-4BAA-AD06-C4EE77742E59}" xr6:coauthVersionLast="47" xr6:coauthVersionMax="47" xr10:uidLastSave="{00000000-0000-0000-0000-000000000000}"/>
  <bookViews>
    <workbookView xWindow="-108" yWindow="-108" windowWidth="23256" windowHeight="12456" xr2:uid="{448C4D64-9F12-4CF7-95CB-C0D2EAF8C972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1" i="2" l="1"/>
  <c r="A52" i="2"/>
  <c r="A53" i="2"/>
  <c r="A54" i="2"/>
  <c r="A55" i="2"/>
  <c r="A50" i="2"/>
  <c r="A23" i="1"/>
  <c r="A24" i="1"/>
  <c r="A25" i="1"/>
  <c r="A26" i="1"/>
  <c r="A27" i="1"/>
  <c r="A22" i="1"/>
  <c r="A13" i="1"/>
  <c r="A14" i="1"/>
  <c r="A15" i="1"/>
  <c r="A16" i="1"/>
  <c r="A17" i="1"/>
  <c r="A12" i="1"/>
  <c r="A9" i="1"/>
  <c r="A41" i="2"/>
  <c r="A42" i="2"/>
  <c r="A43" i="2"/>
  <c r="A44" i="2"/>
  <c r="A45" i="2"/>
  <c r="A40" i="2"/>
  <c r="A31" i="2"/>
  <c r="A32" i="2"/>
  <c r="A33" i="2"/>
  <c r="A34" i="2"/>
  <c r="A35" i="2"/>
  <c r="A30" i="2"/>
  <c r="A21" i="2"/>
  <c r="A22" i="2"/>
  <c r="A23" i="2"/>
  <c r="A24" i="2"/>
  <c r="A25" i="2"/>
  <c r="A20" i="2"/>
  <c r="A10" i="2"/>
  <c r="A11" i="2"/>
  <c r="A12" i="2"/>
  <c r="A13" i="2"/>
  <c r="A14" i="2"/>
  <c r="A15" i="2"/>
</calcChain>
</file>

<file path=xl/sharedStrings.xml><?xml version="1.0" encoding="utf-8"?>
<sst xmlns="http://schemas.openxmlformats.org/spreadsheetml/2006/main" count="27" uniqueCount="24">
  <si>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</si>
  <si>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</si>
  <si>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</si>
  <si>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</si>
  <si>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</si>
  <si>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</si>
  <si>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</si>
  <si>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</si>
  <si>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</si>
  <si>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</si>
  <si>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</si>
  <si>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</si>
  <si>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1. Find Product Names from ProductID</t>
  </si>
  <si>
    <t>C2 * VLOOKUP(B2, Products!$A$2:$C$7, 3, FALSE)</t>
  </si>
  <si>
    <t>2. Calculate Total Price</t>
  </si>
  <si>
    <t>VLOOKUP(B2, Products!$A$2:$C$7, 2, FALSE)</t>
  </si>
  <si>
    <t>3. Check if any ProductIDs are missing</t>
  </si>
  <si>
    <t>IF(ISNA(VLOOKUP(B2, Products!$A$2:$A$7, 1, FALSE)), "Missing", "Exists")</t>
  </si>
  <si>
    <t>4. Apply 10% Discount &amp; Find Discounted Price</t>
  </si>
  <si>
    <t>VLOOKUP(B2, Products!$A$2:$C$7, 3, FALSE) * 0.9</t>
  </si>
  <si>
    <t>5. Find Max Order Value</t>
  </si>
  <si>
    <t>6. Find Products that were NOT ordered</t>
  </si>
  <si>
    <t>IF(COUNTIF(Orders!$B$2:$B$7, A2)=0, "Not Ordered", "Ordered")</t>
  </si>
  <si>
    <t>7. Find Product Name + 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</si>
</sst>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C26-ACCA-47C2-A2B7-382B4E7760AE}">
  <dimension ref="A1:C27"/>
  <sheetViews>
    <sheetView tabSelected="1" workbookViewId="0">
      <selection activeCell="A22" sqref="A22:A27"/>
    </sheetView>
  </sheetViews>
  <sheetFormatPr defaultRowHeight="14.4" x14ac:dyDescent="0.3"/>
  <cols>
    <col min="1" max="1" width="1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ht="28.8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  <row r="8" spans="1:3" x14ac:dyDescent="0.3">
      <c r="A8" s="3" t="s">
        <v>20</v>
      </c>
    </row>
    <row r="9" spans="1:3" x14ac:dyDescent="0.3">
      <c r="A9">
        <f>MAX(C2:C7)</f>
        <v>220</v>
      </c>
    </row>
    <row r="11" spans="1:3" x14ac:dyDescent="0.3">
      <c r="A11" s="3" t="s">
        <v>21</v>
      </c>
    </row>
    <row r="12" spans="1:3" x14ac:dyDescent="0.3">
      <c r="A12" t="str">
        <f>IF(COUNTIF(Orders!$B$2:$B$7, A2)=0, "Not Ordered", "Ordered")</f>
        <v>Ordered</v>
      </c>
    </row>
    <row r="13" spans="1:3" x14ac:dyDescent="0.3">
      <c r="A13" t="str">
        <f>IF(COUNTIF(Orders!$B$2:$B$7, A3)=0, "Not Ordered", "Ordered")</f>
        <v>Ordered</v>
      </c>
    </row>
    <row r="14" spans="1:3" x14ac:dyDescent="0.3">
      <c r="A14" t="str">
        <f>IF(COUNTIF(Orders!$B$2:$B$7, A4)=0, "Not Ordered", "Ordered")</f>
        <v>Ordered</v>
      </c>
    </row>
    <row r="15" spans="1:3" x14ac:dyDescent="0.3">
      <c r="A15" t="str">
        <f>IF(COUNTIF(Orders!$B$2:$B$7, A5)=0, "Not Ordered", "Ordered")</f>
        <v>Ordered</v>
      </c>
    </row>
    <row r="16" spans="1:3" x14ac:dyDescent="0.3">
      <c r="A16" t="str">
        <f>IF(COUNTIF(Orders!$B$2:$B$7, A6)=0, "Not Ordered", "Ordered")</f>
        <v>Ordered</v>
      </c>
    </row>
    <row r="17" spans="1:1" x14ac:dyDescent="0.3">
      <c r="A17" t="str">
        <f>IF(COUNTIF(Orders!$B$2:$B$7, A7)=0, "Not Ordered", "Ordered")</f>
        <v>Ordered</v>
      </c>
    </row>
    <row r="19" spans="1:1" x14ac:dyDescent="0.3">
      <c r="A19" t="s">
        <v>22</v>
      </c>
    </row>
    <row r="21" spans="1:1" x14ac:dyDescent="0.3">
      <c r="A21" t="s">
        <v>23</v>
      </c>
    </row>
    <row r="22" spans="1:1" x14ac:dyDescent="0.3">
      <c r="A22">
        <f>SUMIF(Orders!$B$2:$B$7, A2, Orders!$C$2:$C$7)</f>
        <v>2</v>
      </c>
    </row>
    <row r="23" spans="1:1" x14ac:dyDescent="0.3">
      <c r="A23">
        <f>SUMIF(Orders!$B$2:$B$7, A3, Orders!$C$2:$C$7)</f>
        <v>5</v>
      </c>
    </row>
    <row r="24" spans="1:1" x14ac:dyDescent="0.3">
      <c r="A24">
        <f>SUMIF(Orders!$B$2:$B$7, A4, Orders!$C$2:$C$7)</f>
        <v>1</v>
      </c>
    </row>
    <row r="25" spans="1:1" x14ac:dyDescent="0.3">
      <c r="A25">
        <f>SUMIF(Orders!$B$2:$B$7, A5, Orders!$C$2:$C$7)</f>
        <v>6</v>
      </c>
    </row>
    <row r="26" spans="1:1" x14ac:dyDescent="0.3">
      <c r="A26">
        <f>SUMIF(Orders!$B$2:$B$7, A6, Orders!$C$2:$C$7)</f>
        <v>3</v>
      </c>
    </row>
    <row r="27" spans="1:1" x14ac:dyDescent="0.3">
      <c r="A27">
        <f>SUMIF(Orders!$B$2:$B$7, A7, Orders!$C$2:$C$7)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5EC2-3A0C-4DDF-AA8D-9C2ED95C7CE6}">
  <dimension ref="A1:D57"/>
  <sheetViews>
    <sheetView topLeftCell="A32" workbookViewId="0">
      <selection activeCell="A57" sqref="A57"/>
    </sheetView>
  </sheetViews>
  <sheetFormatPr defaultRowHeight="14.4" x14ac:dyDescent="0.3"/>
  <cols>
    <col min="2" max="2" width="10.77734375" customWidth="1"/>
    <col min="4" max="4" width="10.88671875" customWidth="1"/>
  </cols>
  <sheetData>
    <row r="1" spans="1:4" ht="28.8" x14ac:dyDescent="0.3">
      <c r="A1" s="1" t="s">
        <v>9</v>
      </c>
      <c r="B1" s="1" t="s">
        <v>0</v>
      </c>
      <c r="C1" s="1" t="s">
        <v>10</v>
      </c>
      <c r="D1" s="1" t="s">
        <v>11</v>
      </c>
    </row>
    <row r="2" spans="1:4" x14ac:dyDescent="0.3">
      <c r="A2" s="2">
        <v>1</v>
      </c>
      <c r="B2" s="2">
        <v>101</v>
      </c>
      <c r="C2" s="2">
        <v>2</v>
      </c>
      <c r="D2" s="2"/>
    </row>
    <row r="3" spans="1:4" x14ac:dyDescent="0.3">
      <c r="A3" s="2">
        <v>2</v>
      </c>
      <c r="B3" s="2">
        <v>103</v>
      </c>
      <c r="C3" s="2">
        <v>1</v>
      </c>
      <c r="D3" s="2"/>
    </row>
    <row r="4" spans="1:4" x14ac:dyDescent="0.3">
      <c r="A4" s="2">
        <v>3</v>
      </c>
      <c r="B4" s="2">
        <v>105</v>
      </c>
      <c r="C4" s="2">
        <v>3</v>
      </c>
      <c r="D4" s="2"/>
    </row>
    <row r="5" spans="1:4" x14ac:dyDescent="0.3">
      <c r="A5" s="2">
        <v>4</v>
      </c>
      <c r="B5" s="2">
        <v>106</v>
      </c>
      <c r="C5" s="2">
        <v>4</v>
      </c>
      <c r="D5" s="2"/>
    </row>
    <row r="6" spans="1:4" x14ac:dyDescent="0.3">
      <c r="A6" s="2">
        <v>5</v>
      </c>
      <c r="B6" s="2">
        <v>102</v>
      </c>
      <c r="C6" s="2">
        <v>5</v>
      </c>
      <c r="D6" s="2"/>
    </row>
    <row r="7" spans="1:4" x14ac:dyDescent="0.3">
      <c r="A7" s="2">
        <v>6</v>
      </c>
      <c r="B7" s="2">
        <v>104</v>
      </c>
      <c r="C7" s="2">
        <v>6</v>
      </c>
      <c r="D7" s="2"/>
    </row>
    <row r="9" spans="1:4" x14ac:dyDescent="0.3">
      <c r="A9" t="s">
        <v>14</v>
      </c>
    </row>
    <row r="10" spans="1:4" x14ac:dyDescent="0.3">
      <c r="A10">
        <f>C2 * VLOOKUP(B2, Products!$A$2:$C$7, 3, FALSE)</f>
        <v>240</v>
      </c>
    </row>
    <row r="11" spans="1:4" x14ac:dyDescent="0.3">
      <c r="A11">
        <f>C3 * VLOOKUP(B3, Products!$A$2:$C$7, 3, FALSE)</f>
        <v>200</v>
      </c>
    </row>
    <row r="12" spans="1:4" x14ac:dyDescent="0.3">
      <c r="A12">
        <f>C4 * VLOOKUP(B4, Products!$A$2:$C$7, 3, FALSE)</f>
        <v>660</v>
      </c>
    </row>
    <row r="13" spans="1:4" x14ac:dyDescent="0.3">
      <c r="A13">
        <f>C5 * VLOOKUP(B5, Products!$A$2:$C$7, 3, FALSE)</f>
        <v>520</v>
      </c>
    </row>
    <row r="14" spans="1:4" x14ac:dyDescent="0.3">
      <c r="A14">
        <f>C6 * VLOOKUP(B6, Products!$A$2:$C$7, 3, FALSE)</f>
        <v>750</v>
      </c>
    </row>
    <row r="15" spans="1:4" x14ac:dyDescent="0.3">
      <c r="A15">
        <f>C7 * VLOOKUP(B7, Products!$A$2:$C$7, 3, FALSE)</f>
        <v>540</v>
      </c>
    </row>
    <row r="17" spans="1:1" x14ac:dyDescent="0.3">
      <c r="A17" t="s">
        <v>13</v>
      </c>
    </row>
    <row r="19" spans="1:1" x14ac:dyDescent="0.3">
      <c r="A19" s="3" t="s">
        <v>12</v>
      </c>
    </row>
    <row r="20" spans="1:1" x14ac:dyDescent="0.3">
      <c r="A20" t="str">
        <f>VLOOKUP(B2, Products!$A$2:$C$7, 2, FALSE)</f>
        <v>Product A</v>
      </c>
    </row>
    <row r="21" spans="1:1" x14ac:dyDescent="0.3">
      <c r="A21" t="str">
        <f>VLOOKUP(B3, Products!$A$2:$C$7, 2, FALSE)</f>
        <v>Product C</v>
      </c>
    </row>
    <row r="22" spans="1:1" x14ac:dyDescent="0.3">
      <c r="A22" t="str">
        <f>VLOOKUP(B4, Products!$A$2:$C$7, 2, FALSE)</f>
        <v>Product E</v>
      </c>
    </row>
    <row r="23" spans="1:1" x14ac:dyDescent="0.3">
      <c r="A23" t="str">
        <f>VLOOKUP(B5, Products!$A$2:$C$7, 2, FALSE)</f>
        <v>Product F</v>
      </c>
    </row>
    <row r="24" spans="1:1" x14ac:dyDescent="0.3">
      <c r="A24" t="str">
        <f>VLOOKUP(B6, Products!$A$2:$C$7, 2, FALSE)</f>
        <v>Product B</v>
      </c>
    </row>
    <row r="25" spans="1:1" x14ac:dyDescent="0.3">
      <c r="A25" t="str">
        <f>VLOOKUP(B7, Products!$A$2:$C$7, 2, FALSE)</f>
        <v>Product D</v>
      </c>
    </row>
    <row r="27" spans="1:1" x14ac:dyDescent="0.3">
      <c r="A27" t="s">
        <v>15</v>
      </c>
    </row>
    <row r="29" spans="1:1" x14ac:dyDescent="0.3">
      <c r="A29" t="s">
        <v>16</v>
      </c>
    </row>
    <row r="30" spans="1:1" x14ac:dyDescent="0.3">
      <c r="A30" t="str">
        <f>IF(ISNA(VLOOKUP(B2, Products!$A$2:$A$7, 1, FALSE)), "Missing", "Exists")</f>
        <v>Exists</v>
      </c>
    </row>
    <row r="31" spans="1:1" x14ac:dyDescent="0.3">
      <c r="A31" t="str">
        <f>IF(ISNA(VLOOKUP(B3, Products!$A$2:$A$7, 1, FALSE)), "Missing", "Exists")</f>
        <v>Exists</v>
      </c>
    </row>
    <row r="32" spans="1:1" x14ac:dyDescent="0.3">
      <c r="A32" t="str">
        <f>IF(ISNA(VLOOKUP(B4, Products!$A$2:$A$7, 1, FALSE)), "Missing", "Exists")</f>
        <v>Exists</v>
      </c>
    </row>
    <row r="33" spans="1:1" x14ac:dyDescent="0.3">
      <c r="A33" t="str">
        <f>IF(ISNA(VLOOKUP(B5, Products!$A$2:$A$7, 1, FALSE)), "Missing", "Exists")</f>
        <v>Exists</v>
      </c>
    </row>
    <row r="34" spans="1:1" x14ac:dyDescent="0.3">
      <c r="A34" t="str">
        <f>IF(ISNA(VLOOKUP(B6, Products!$A$2:$A$7, 1, FALSE)), "Missing", "Exists")</f>
        <v>Exists</v>
      </c>
    </row>
    <row r="35" spans="1:1" x14ac:dyDescent="0.3">
      <c r="A35" t="str">
        <f>IF(ISNA(VLOOKUP(B7, Products!$A$2:$A$7, 1, FALSE)), "Missing", "Exists")</f>
        <v>Exists</v>
      </c>
    </row>
    <row r="37" spans="1:1" x14ac:dyDescent="0.3">
      <c r="A37" t="s">
        <v>17</v>
      </c>
    </row>
    <row r="39" spans="1:1" x14ac:dyDescent="0.3">
      <c r="A39" t="s">
        <v>18</v>
      </c>
    </row>
    <row r="40" spans="1:1" x14ac:dyDescent="0.3">
      <c r="A40">
        <f>VLOOKUP(B2, Products!$A$2:$C$7, 3, FALSE) * 0.9</f>
        <v>108</v>
      </c>
    </row>
    <row r="41" spans="1:1" x14ac:dyDescent="0.3">
      <c r="A41">
        <f>VLOOKUP(B3, Products!$A$2:$C$7, 3, FALSE) * 0.9</f>
        <v>180</v>
      </c>
    </row>
    <row r="42" spans="1:1" x14ac:dyDescent="0.3">
      <c r="A42">
        <f>VLOOKUP(B4, Products!$A$2:$C$7, 3, FALSE) * 0.9</f>
        <v>198</v>
      </c>
    </row>
    <row r="43" spans="1:1" x14ac:dyDescent="0.3">
      <c r="A43">
        <f>VLOOKUP(B5, Products!$A$2:$C$7, 3, FALSE) * 0.9</f>
        <v>117</v>
      </c>
    </row>
    <row r="44" spans="1:1" x14ac:dyDescent="0.3">
      <c r="A44">
        <f>VLOOKUP(B6, Products!$A$2:$C$7, 3, FALSE) * 0.9</f>
        <v>135</v>
      </c>
    </row>
    <row r="45" spans="1:1" x14ac:dyDescent="0.3">
      <c r="A45">
        <f>VLOOKUP(B7, Products!$A$2:$C$7, 3, FALSE) * 0.9</f>
        <v>81</v>
      </c>
    </row>
    <row r="47" spans="1:1" x14ac:dyDescent="0.3">
      <c r="A47" t="s">
        <v>19</v>
      </c>
    </row>
    <row r="49" spans="1:1" x14ac:dyDescent="0.3">
      <c r="A49" t="s">
        <v>23</v>
      </c>
    </row>
    <row r="50" spans="1:1" x14ac:dyDescent="0.3">
      <c r="A50" t="str">
        <f>VLOOKUP(B2, Products!$A$2:$C$7, 2, FALSE)</f>
        <v>Product A</v>
      </c>
    </row>
    <row r="51" spans="1:1" x14ac:dyDescent="0.3">
      <c r="A51" t="str">
        <f>VLOOKUP(B3, Products!$A$2:$C$7, 2, FALSE)</f>
        <v>Product C</v>
      </c>
    </row>
    <row r="52" spans="1:1" x14ac:dyDescent="0.3">
      <c r="A52" t="str">
        <f>VLOOKUP(B4, Products!$A$2:$C$7, 2, FALSE)</f>
        <v>Product E</v>
      </c>
    </row>
    <row r="53" spans="1:1" x14ac:dyDescent="0.3">
      <c r="A53" t="str">
        <f>VLOOKUP(B5, Products!$A$2:$C$7, 2, FALSE)</f>
        <v>Product F</v>
      </c>
    </row>
    <row r="54" spans="1:1" x14ac:dyDescent="0.3">
      <c r="A54" t="str">
        <f>VLOOKUP(B6, Products!$A$2:$C$7, 2, FALSE)</f>
        <v>Product B</v>
      </c>
    </row>
    <row r="55" spans="1:1" x14ac:dyDescent="0.3">
      <c r="A55" t="str">
        <f>VLOOKUP(B7, Products!$A$2:$C$7, 2, FALSE)</f>
        <v>Product D</v>
      </c>
    </row>
    <row r="57" spans="1:1" x14ac:dyDescent="0.3">
      <c r="A5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2025-11-27T13:10:52Z</dcterms:created>
  <dcterms:modified xsi:type="dcterms:W3CDTF">2025-11-27T13:32:13Z</dcterms:modified>
</cp:coreProperties>
</file>