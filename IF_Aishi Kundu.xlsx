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"/>
    </mc:Choice>
  </mc:AlternateContent>
  <xr:revisionPtr revIDLastSave="0" documentId="8_{5BDA92A5-E430-43AC-9CCC-612E72347D89}" xr6:coauthVersionLast="47" xr6:coauthVersionMax="47" xr10:uidLastSave="{00000000-0000-0000-0000-000000000000}"/>
  <bookViews>
    <workbookView xWindow="-108" yWindow="-108" windowWidth="23256" windowHeight="12456" xr2:uid="{6DD6E1F2-0004-48EF-A115-113A372E0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0" i="1" l="1"/>
  <c r="A101" i="1"/>
  <c r="A102" i="1"/>
  <c r="A103" i="1"/>
  <c r="A104" i="1"/>
  <c r="A99" i="1"/>
  <c r="A87" i="1"/>
  <c r="A88" i="1"/>
  <c r="A89" i="1"/>
  <c r="A90" i="1"/>
  <c r="A91" i="1"/>
  <c r="A86" i="1"/>
  <c r="A73" i="1"/>
  <c r="A74" i="1"/>
  <c r="A75" i="1"/>
  <c r="A76" i="1"/>
  <c r="A77" i="1"/>
  <c r="A72" i="1"/>
  <c r="A58" i="1"/>
  <c r="A59" i="1"/>
  <c r="A60" i="1"/>
  <c r="A61" i="1"/>
  <c r="A62" i="1"/>
  <c r="A57" i="1"/>
  <c r="A42" i="1"/>
  <c r="A43" i="1"/>
  <c r="A41" i="1"/>
  <c r="A44" i="1"/>
  <c r="A45" i="1"/>
  <c r="A46" i="1"/>
  <c r="A32" i="1"/>
  <c r="A33" i="1"/>
  <c r="A34" i="1"/>
  <c r="A35" i="1"/>
  <c r="A36" i="1"/>
  <c r="A31" i="1"/>
  <c r="A22" i="1"/>
  <c r="A23" i="1"/>
  <c r="A24" i="1"/>
  <c r="A25" i="1"/>
  <c r="A26" i="1"/>
  <c r="A21" i="1"/>
  <c r="A11" i="1"/>
  <c r="A12" i="1"/>
  <c r="A13" i="1"/>
  <c r="A14" i="1"/>
  <c r="A15" i="1"/>
  <c r="A16" i="1"/>
</calcChain>
</file>

<file path=xl/sharedStrings.xml><?xml version="1.0" encoding="utf-8"?>
<sst xmlns="http://schemas.openxmlformats.org/spreadsheetml/2006/main" count="44" uniqueCount="42">
  <si>
    <t>Product ID</t>
  </si>
  <si>
    <t>Product</t>
  </si>
  <si>
    <t>Sales</t>
  </si>
  <si>
    <t>Target</t>
  </si>
  <si>
    <t>Region</t>
  </si>
  <si>
    <t>Product A</t>
  </si>
  <si>
    <t>Product B</t>
  </si>
  <si>
    <t>Produvt C</t>
  </si>
  <si>
    <t>Product D</t>
  </si>
  <si>
    <t>Product F</t>
  </si>
  <si>
    <t>Product G</t>
  </si>
  <si>
    <t>North</t>
  </si>
  <si>
    <t>South</t>
  </si>
  <si>
    <t>East</t>
  </si>
  <si>
    <t>West</t>
  </si>
  <si>
    <t>1.Check if each product met its sales target</t>
  </si>
  <si>
    <t>IF(C2 &gt;= D2, "Met Target", "Not Met")</t>
  </si>
  <si>
    <t>IF(AND(E2="North", C2 &gt; 200), "Eligible", "Not Eligible")</t>
  </si>
  <si>
    <t>2.Check eligibility for regional bonus</t>
  </si>
  <si>
    <t>3.Commission rate based on sales tiers</t>
  </si>
  <si>
    <t>IF(C2&gt;=200, "10%", IF(C2&gt;=150, "7%", "5%"))</t>
  </si>
  <si>
    <t>IF(C2&gt;=D2, C2*0.10, C2*0.05)</t>
  </si>
  <si>
    <t>4.Bonus amount</t>
  </si>
  <si>
    <t>≥200 = Excellent</t>
  </si>
  <si>
    <t>150 = Good</t>
  </si>
  <si>
    <t>Else = Needs Improvement</t>
  </si>
  <si>
    <t>IF(C2&gt;=200, "Excellent", IF(C2&gt;150, "Good", "Needs Improvement"))</t>
  </si>
  <si>
    <t>≥200 = High</t>
  </si>
  <si>
    <t>Between 100 &amp; 199 = Medium</t>
  </si>
  <si>
    <t>&lt;100 = Low</t>
  </si>
  <si>
    <t>6.Price tier based on sales</t>
  </si>
  <si>
    <t>5. Categorize sales performance</t>
  </si>
  <si>
    <t>IF(C2&gt;=200, "High", IF(C2&gt;=100, "Medium", "Low"))</t>
  </si>
  <si>
    <t>If Sales ≥150 AND Region = "North" → ₹500</t>
  </si>
  <si>
    <t>Else → ₹300</t>
  </si>
  <si>
    <t>7.Calculate year-end bonus</t>
  </si>
  <si>
    <t>IF(AND(C2&gt;=150, E2="North"), 500, 300)</t>
  </si>
  <si>
    <t>Top 25% of sales → High Performer</t>
  </si>
  <si>
    <t>(Assuming C column is Sales)</t>
  </si>
  <si>
    <t>8.Flag top performance</t>
  </si>
  <si>
    <t>IF(AND(C2&gt;=200,C2&gt;=D2),"High Performer","Normal")</t>
  </si>
  <si>
    <t>IF(C2&gt;=PERCENTILE($C$2:$C$7,0.75),"High Performer","Normal")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</si>
</sst>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A8FF-2793-41A7-B6A4-76FA3778E735}">
  <dimension ref="A1:E107"/>
  <sheetViews>
    <sheetView tabSelected="1" topLeftCell="A80" workbookViewId="0">
      <selection activeCell="A106" sqref="A106"/>
    </sheetView>
  </sheetViews>
  <sheetFormatPr defaultRowHeight="14.4" x14ac:dyDescent="0.3"/>
  <cols>
    <col min="1" max="1" width="16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>
        <v>120</v>
      </c>
      <c r="D2">
        <v>150</v>
      </c>
      <c r="E2" t="s">
        <v>11</v>
      </c>
    </row>
    <row r="3" spans="1:5" x14ac:dyDescent="0.3">
      <c r="A3">
        <v>102</v>
      </c>
      <c r="B3" t="s">
        <v>6</v>
      </c>
      <c r="C3">
        <v>150</v>
      </c>
      <c r="D3">
        <v>140</v>
      </c>
      <c r="E3" t="s">
        <v>12</v>
      </c>
    </row>
    <row r="4" spans="1:5" x14ac:dyDescent="0.3">
      <c r="A4">
        <v>103</v>
      </c>
      <c r="B4" t="s">
        <v>7</v>
      </c>
      <c r="C4">
        <v>200</v>
      </c>
      <c r="D4">
        <v>200</v>
      </c>
      <c r="E4" t="s">
        <v>13</v>
      </c>
    </row>
    <row r="5" spans="1:5" x14ac:dyDescent="0.3">
      <c r="A5">
        <v>104</v>
      </c>
      <c r="B5" t="s">
        <v>8</v>
      </c>
      <c r="C5">
        <v>90</v>
      </c>
      <c r="D5">
        <v>100</v>
      </c>
      <c r="E5" t="s">
        <v>14</v>
      </c>
    </row>
    <row r="6" spans="1:5" x14ac:dyDescent="0.3">
      <c r="A6">
        <v>105</v>
      </c>
      <c r="B6" t="s">
        <v>9</v>
      </c>
      <c r="C6">
        <v>220</v>
      </c>
      <c r="D6">
        <v>210</v>
      </c>
      <c r="E6" t="s">
        <v>11</v>
      </c>
    </row>
    <row r="7" spans="1:5" x14ac:dyDescent="0.3">
      <c r="A7">
        <v>106</v>
      </c>
      <c r="B7" t="s">
        <v>10</v>
      </c>
      <c r="C7">
        <v>130</v>
      </c>
      <c r="D7">
        <v>160</v>
      </c>
      <c r="E7" t="s">
        <v>12</v>
      </c>
    </row>
    <row r="10" spans="1:5" x14ac:dyDescent="0.3">
      <c r="A10" t="s">
        <v>15</v>
      </c>
    </row>
    <row r="11" spans="1:5" x14ac:dyDescent="0.3">
      <c r="A11" t="str">
        <f>IF(C2 &gt;= D2, "Met Target", "Not Met")</f>
        <v>Not Met</v>
      </c>
    </row>
    <row r="12" spans="1:5" x14ac:dyDescent="0.3">
      <c r="A12" t="str">
        <f>IF(C3 &gt;= D3, "Met Target", "Not Met")</f>
        <v>Met Target</v>
      </c>
    </row>
    <row r="13" spans="1:5" x14ac:dyDescent="0.3">
      <c r="A13" t="str">
        <f t="shared" ref="A12:A16" si="0">IF(C4 &gt;= D4, "Met Target", "Not Met")</f>
        <v>Met Target</v>
      </c>
    </row>
    <row r="14" spans="1:5" x14ac:dyDescent="0.3">
      <c r="A14" t="str">
        <f t="shared" si="0"/>
        <v>Not Met</v>
      </c>
    </row>
    <row r="15" spans="1:5" x14ac:dyDescent="0.3">
      <c r="A15" t="str">
        <f t="shared" si="0"/>
        <v>Met Target</v>
      </c>
    </row>
    <row r="16" spans="1:5" x14ac:dyDescent="0.3">
      <c r="A16" t="str">
        <f t="shared" si="0"/>
        <v>Not Met</v>
      </c>
    </row>
    <row r="18" spans="1:1" x14ac:dyDescent="0.3">
      <c r="A18" t="s">
        <v>16</v>
      </c>
    </row>
    <row r="20" spans="1:1" x14ac:dyDescent="0.3">
      <c r="A20" t="s">
        <v>18</v>
      </c>
    </row>
    <row r="21" spans="1:1" x14ac:dyDescent="0.3">
      <c r="A21" t="str">
        <f>IF(AND(E2="North", C2 &gt; 200), "Eligible", "Not Eligible")</f>
        <v>Not Eligible</v>
      </c>
    </row>
    <row r="22" spans="1:1" x14ac:dyDescent="0.3">
      <c r="A22" t="str">
        <f t="shared" ref="A22:A26" si="1">IF(AND(E3="North", C3 &gt; 200), "Eligible", "Not Eligible")</f>
        <v>Not Eligible</v>
      </c>
    </row>
    <row r="23" spans="1:1" x14ac:dyDescent="0.3">
      <c r="A23" t="str">
        <f t="shared" si="1"/>
        <v>Not Eligible</v>
      </c>
    </row>
    <row r="24" spans="1:1" x14ac:dyDescent="0.3">
      <c r="A24" t="str">
        <f t="shared" si="1"/>
        <v>Not Eligible</v>
      </c>
    </row>
    <row r="25" spans="1:1" x14ac:dyDescent="0.3">
      <c r="A25" t="str">
        <f t="shared" si="1"/>
        <v>Eligible</v>
      </c>
    </row>
    <row r="26" spans="1:1" x14ac:dyDescent="0.3">
      <c r="A26" t="str">
        <f t="shared" si="1"/>
        <v>Not Eligible</v>
      </c>
    </row>
    <row r="28" spans="1:1" x14ac:dyDescent="0.3">
      <c r="A28" t="s">
        <v>17</v>
      </c>
    </row>
    <row r="30" spans="1:1" x14ac:dyDescent="0.3">
      <c r="A30" t="s">
        <v>19</v>
      </c>
    </row>
    <row r="31" spans="1:1" x14ac:dyDescent="0.3">
      <c r="A31" t="str">
        <f>IF(C2&gt;=200, "10%", IF(C2&gt;=150, "7%", "5%"))</f>
        <v>5%</v>
      </c>
    </row>
    <row r="32" spans="1:1" x14ac:dyDescent="0.3">
      <c r="A32" t="str">
        <f t="shared" ref="A32:A36" si="2">IF(C3&gt;=200, "10%", IF(C3&gt;=150, "7%", "5%"))</f>
        <v>7%</v>
      </c>
    </row>
    <row r="33" spans="1:1" x14ac:dyDescent="0.3">
      <c r="A33" t="str">
        <f t="shared" si="2"/>
        <v>10%</v>
      </c>
    </row>
    <row r="34" spans="1:1" x14ac:dyDescent="0.3">
      <c r="A34" t="str">
        <f t="shared" si="2"/>
        <v>5%</v>
      </c>
    </row>
    <row r="35" spans="1:1" x14ac:dyDescent="0.3">
      <c r="A35" t="str">
        <f t="shared" si="2"/>
        <v>10%</v>
      </c>
    </row>
    <row r="36" spans="1:1" x14ac:dyDescent="0.3">
      <c r="A36" t="str">
        <f t="shared" si="2"/>
        <v>5%</v>
      </c>
    </row>
    <row r="38" spans="1:1" x14ac:dyDescent="0.3">
      <c r="A38" t="s">
        <v>20</v>
      </c>
    </row>
    <row r="40" spans="1:1" ht="18" x14ac:dyDescent="0.3">
      <c r="A40" s="1" t="s">
        <v>22</v>
      </c>
    </row>
    <row r="41" spans="1:1" x14ac:dyDescent="0.3">
      <c r="A41" s="2">
        <f>IF(C2&gt;=D2, C2*0.1, C2*0.05)</f>
        <v>6</v>
      </c>
    </row>
    <row r="42" spans="1:1" x14ac:dyDescent="0.3">
      <c r="A42" s="2">
        <f t="shared" ref="A42:A43" si="3">IF(C3&gt;=D3, C3*0.1, C3*0.05)</f>
        <v>15</v>
      </c>
    </row>
    <row r="43" spans="1:1" x14ac:dyDescent="0.3">
      <c r="A43" s="2">
        <f t="shared" si="3"/>
        <v>20</v>
      </c>
    </row>
    <row r="44" spans="1:1" x14ac:dyDescent="0.3">
      <c r="A44">
        <f t="shared" ref="A42:A46" si="4">IF(C5&gt;=D5, C5*0.1, C5*0.05)</f>
        <v>4.5</v>
      </c>
    </row>
    <row r="45" spans="1:1" x14ac:dyDescent="0.3">
      <c r="A45">
        <f t="shared" si="4"/>
        <v>22</v>
      </c>
    </row>
    <row r="46" spans="1:1" x14ac:dyDescent="0.3">
      <c r="A46">
        <f t="shared" si="4"/>
        <v>6.5</v>
      </c>
    </row>
    <row r="48" spans="1:1" x14ac:dyDescent="0.3">
      <c r="A48" t="s">
        <v>21</v>
      </c>
    </row>
    <row r="50" spans="1:1" ht="18" x14ac:dyDescent="0.3">
      <c r="A50" s="1" t="s">
        <v>31</v>
      </c>
    </row>
    <row r="51" spans="1:1" x14ac:dyDescent="0.3">
      <c r="A51" s="2"/>
    </row>
    <row r="52" spans="1:1" x14ac:dyDescent="0.3">
      <c r="A52" s="2" t="s">
        <v>23</v>
      </c>
    </row>
    <row r="53" spans="1:1" x14ac:dyDescent="0.3">
      <c r="A53" s="3"/>
    </row>
    <row r="54" spans="1:1" x14ac:dyDescent="0.3">
      <c r="A54" s="3" t="s">
        <v>24</v>
      </c>
    </row>
    <row r="55" spans="1:1" x14ac:dyDescent="0.3">
      <c r="A55" s="3" t="s">
        <v>25</v>
      </c>
    </row>
    <row r="57" spans="1:1" x14ac:dyDescent="0.3">
      <c r="A57" t="str">
        <f>IF(C2&gt;=200, "Excellent", IF(C2&gt;150, "Good", "Needs Improvement"))</f>
        <v>Needs Improvement</v>
      </c>
    </row>
    <row r="58" spans="1:1" x14ac:dyDescent="0.3">
      <c r="A58" t="str">
        <f t="shared" ref="A58:A62" si="5">IF(C3&gt;=200, "Excellent", IF(C3&gt;150, "Good", "Needs Improvement"))</f>
        <v>Needs Improvement</v>
      </c>
    </row>
    <row r="59" spans="1:1" x14ac:dyDescent="0.3">
      <c r="A59" t="str">
        <f t="shared" si="5"/>
        <v>Excellent</v>
      </c>
    </row>
    <row r="60" spans="1:1" x14ac:dyDescent="0.3">
      <c r="A60" t="str">
        <f t="shared" si="5"/>
        <v>Needs Improvement</v>
      </c>
    </row>
    <row r="61" spans="1:1" x14ac:dyDescent="0.3">
      <c r="A61" t="str">
        <f t="shared" si="5"/>
        <v>Excellent</v>
      </c>
    </row>
    <row r="62" spans="1:1" x14ac:dyDescent="0.3">
      <c r="A62" t="str">
        <f t="shared" si="5"/>
        <v>Needs Improvement</v>
      </c>
    </row>
    <row r="64" spans="1:1" x14ac:dyDescent="0.3">
      <c r="A64" t="s">
        <v>26</v>
      </c>
    </row>
    <row r="66" spans="1:1" ht="18" x14ac:dyDescent="0.3">
      <c r="A66" s="1" t="s">
        <v>30</v>
      </c>
    </row>
    <row r="67" spans="1:1" x14ac:dyDescent="0.3">
      <c r="A67" s="2"/>
    </row>
    <row r="68" spans="1:1" x14ac:dyDescent="0.3">
      <c r="A68" s="2" t="s">
        <v>27</v>
      </c>
    </row>
    <row r="69" spans="1:1" x14ac:dyDescent="0.3">
      <c r="A69" s="2" t="s">
        <v>28</v>
      </c>
    </row>
    <row r="70" spans="1:1" x14ac:dyDescent="0.3">
      <c r="A70" s="2" t="s">
        <v>29</v>
      </c>
    </row>
    <row r="72" spans="1:1" x14ac:dyDescent="0.3">
      <c r="A72" t="str">
        <f>IF(C2&gt;=200, "High", IF(C2&gt;=100, "Medium", "Low"))</f>
        <v>Medium</v>
      </c>
    </row>
    <row r="73" spans="1:1" x14ac:dyDescent="0.3">
      <c r="A73" t="str">
        <f t="shared" ref="A73:A77" si="6">IF(C3&gt;=200, "High", IF(C3&gt;=100, "Medium", "Low"))</f>
        <v>Medium</v>
      </c>
    </row>
    <row r="74" spans="1:1" x14ac:dyDescent="0.3">
      <c r="A74" t="str">
        <f t="shared" si="6"/>
        <v>High</v>
      </c>
    </row>
    <row r="75" spans="1:1" x14ac:dyDescent="0.3">
      <c r="A75" t="str">
        <f t="shared" si="6"/>
        <v>Low</v>
      </c>
    </row>
    <row r="76" spans="1:1" x14ac:dyDescent="0.3">
      <c r="A76" t="str">
        <f t="shared" si="6"/>
        <v>High</v>
      </c>
    </row>
    <row r="77" spans="1:1" x14ac:dyDescent="0.3">
      <c r="A77" t="str">
        <f t="shared" si="6"/>
        <v>Medium</v>
      </c>
    </row>
    <row r="79" spans="1:1" x14ac:dyDescent="0.3">
      <c r="A79" t="s">
        <v>32</v>
      </c>
    </row>
    <row r="81" spans="1:1" ht="18" x14ac:dyDescent="0.3">
      <c r="A81" s="1" t="s">
        <v>35</v>
      </c>
    </row>
    <row r="82" spans="1:1" x14ac:dyDescent="0.3">
      <c r="A82" s="2"/>
    </row>
    <row r="83" spans="1:1" x14ac:dyDescent="0.3">
      <c r="A83" s="2" t="s">
        <v>33</v>
      </c>
    </row>
    <row r="84" spans="1:1" x14ac:dyDescent="0.3">
      <c r="A84" s="2" t="s">
        <v>34</v>
      </c>
    </row>
    <row r="86" spans="1:1" x14ac:dyDescent="0.3">
      <c r="A86">
        <f>IF(AND(C2&gt;=150, E2="North"), 500, 300)</f>
        <v>300</v>
      </c>
    </row>
    <row r="87" spans="1:1" x14ac:dyDescent="0.3">
      <c r="A87">
        <f t="shared" ref="A87:A91" si="7">IF(AND(C3&gt;=150, E3="North"), 500, 300)</f>
        <v>300</v>
      </c>
    </row>
    <row r="88" spans="1:1" x14ac:dyDescent="0.3">
      <c r="A88">
        <f t="shared" si="7"/>
        <v>300</v>
      </c>
    </row>
    <row r="89" spans="1:1" x14ac:dyDescent="0.3">
      <c r="A89">
        <f t="shared" si="7"/>
        <v>300</v>
      </c>
    </row>
    <row r="90" spans="1:1" x14ac:dyDescent="0.3">
      <c r="A90">
        <f t="shared" si="7"/>
        <v>500</v>
      </c>
    </row>
    <row r="91" spans="1:1" x14ac:dyDescent="0.3">
      <c r="A91">
        <f t="shared" si="7"/>
        <v>300</v>
      </c>
    </row>
    <row r="93" spans="1:1" x14ac:dyDescent="0.3">
      <c r="A93" t="s">
        <v>36</v>
      </c>
    </row>
    <row r="95" spans="1:1" ht="18" x14ac:dyDescent="0.3">
      <c r="A95" s="1" t="s">
        <v>39</v>
      </c>
    </row>
    <row r="96" spans="1:1" x14ac:dyDescent="0.3">
      <c r="A96" t="s">
        <v>37</v>
      </c>
    </row>
    <row r="97" spans="1:1" x14ac:dyDescent="0.3">
      <c r="A97" t="s">
        <v>38</v>
      </c>
    </row>
    <row r="98" spans="1:1" x14ac:dyDescent="0.3">
      <c r="A98" s="2"/>
    </row>
    <row r="99" spans="1:1" x14ac:dyDescent="0.3">
      <c r="A99" t="str">
        <f>IF(C2 &gt;= PERCENTILE($C$2:$C$7, 0.75), "High Performer", "Normal")</f>
        <v>Normal</v>
      </c>
    </row>
    <row r="100" spans="1:1" x14ac:dyDescent="0.3">
      <c r="A100" t="str">
        <f t="shared" ref="A100:A104" si="8">IF(C3 &gt;= PERCENTILE($C$2:$C$7, 0.75), "High Performer", "Normal")</f>
        <v>Normal</v>
      </c>
    </row>
    <row r="101" spans="1:1" x14ac:dyDescent="0.3">
      <c r="A101" t="str">
        <f t="shared" si="8"/>
        <v>High Performer</v>
      </c>
    </row>
    <row r="102" spans="1:1" x14ac:dyDescent="0.3">
      <c r="A102" t="str">
        <f t="shared" si="8"/>
        <v>Normal</v>
      </c>
    </row>
    <row r="103" spans="1:1" x14ac:dyDescent="0.3">
      <c r="A103" t="str">
        <f t="shared" si="8"/>
        <v>High Performer</v>
      </c>
    </row>
    <row r="104" spans="1:1" x14ac:dyDescent="0.3">
      <c r="A104" t="str">
        <f t="shared" si="8"/>
        <v>Normal</v>
      </c>
    </row>
    <row r="106" spans="1:1" x14ac:dyDescent="0.3">
      <c r="A106" t="s">
        <v>41</v>
      </c>
    </row>
    <row r="107" spans="1:1" x14ac:dyDescent="0.3">
      <c r="A10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2025-11-22T12:28:24Z</dcterms:created>
  <dcterms:modified xsi:type="dcterms:W3CDTF">2025-11-22T13:14:01Z</dcterms:modified>
</cp:coreProperties>
</file>